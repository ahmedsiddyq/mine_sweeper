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\OneDrive\project\robocheel\mineSweper\puruch list\"/>
    </mc:Choice>
  </mc:AlternateContent>
  <xr:revisionPtr revIDLastSave="0" documentId="13_ncr:1_{E8D1C3A6-3169-4585-9E66-6ADE5F923B22}" xr6:coauthVersionLast="47" xr6:coauthVersionMax="47" xr10:uidLastSave="{00000000-0000-0000-0000-000000000000}"/>
  <bookViews>
    <workbookView xWindow="20" yWindow="20" windowWidth="19180" windowHeight="10060" xr2:uid="{BA8BC2EA-4C6A-4475-BE7E-C15009A97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40" i="1"/>
  <c r="E41" i="1"/>
  <c r="E42" i="1"/>
  <c r="E43" i="1"/>
  <c r="E44" i="1"/>
  <c r="E4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" i="1"/>
</calcChain>
</file>

<file path=xl/sharedStrings.xml><?xml version="1.0" encoding="utf-8"?>
<sst xmlns="http://schemas.openxmlformats.org/spreadsheetml/2006/main" count="89" uniqueCount="88">
  <si>
    <t>esp32</t>
  </si>
  <si>
    <t>UC3843</t>
  </si>
  <si>
    <t>BTS7960B</t>
  </si>
  <si>
    <t>3.3v reg smd</t>
  </si>
  <si>
    <t>5v regsmd</t>
  </si>
  <si>
    <t>db9 pcb meal + femail</t>
  </si>
  <si>
    <t>removeble terminal screw2 pin</t>
  </si>
  <si>
    <t>xt60 connector meal + femail</t>
  </si>
  <si>
    <t>removeble terminal screw6 pin</t>
  </si>
  <si>
    <t>pinheader40 meal</t>
  </si>
  <si>
    <t>smd 2012m cap 2uf</t>
  </si>
  <si>
    <t>smd 2012m cap 100nf</t>
  </si>
  <si>
    <t xml:space="preserve">tvs dion smd 5v </t>
  </si>
  <si>
    <t>lm358</t>
  </si>
  <si>
    <t>smd 2012m res 10k</t>
  </si>
  <si>
    <t>smd 2012m res 56k</t>
  </si>
  <si>
    <t>smd 2012m res 5k</t>
  </si>
  <si>
    <t>smd 2012m res 100k</t>
  </si>
  <si>
    <t>smd 2012m res 2.2k</t>
  </si>
  <si>
    <t>smd 2012m res 1k</t>
  </si>
  <si>
    <t>smd 2012m res 470</t>
  </si>
  <si>
    <t>smd 2012m res 100</t>
  </si>
  <si>
    <t>smd 2012m res 300k</t>
  </si>
  <si>
    <t>smd 2012m res 47</t>
  </si>
  <si>
    <t>3w res 200-120ohm</t>
  </si>
  <si>
    <t>smd  cap 1nf</t>
  </si>
  <si>
    <t>smd npn transistor</t>
  </si>
  <si>
    <t>smd diod</t>
  </si>
  <si>
    <t>100uf cap</t>
  </si>
  <si>
    <t>470uf cap</t>
  </si>
  <si>
    <t>1000uf cap</t>
  </si>
  <si>
    <t>10uf</t>
  </si>
  <si>
    <t>10dof imu</t>
  </si>
  <si>
    <t>pinheader40 femal</t>
  </si>
  <si>
    <t>buzzer big wight 12v</t>
  </si>
  <si>
    <t xml:space="preserve">3.6v zener </t>
  </si>
  <si>
    <t>5.6 zener</t>
  </si>
  <si>
    <t>smd led red</t>
  </si>
  <si>
    <t>smd fuese</t>
  </si>
  <si>
    <t>db9 with case femeal+meal</t>
  </si>
  <si>
    <t xml:space="preserve">cable 2 pin </t>
  </si>
  <si>
    <t xml:space="preserve">cable 4 pin  </t>
  </si>
  <si>
    <t xml:space="preserve">cable 9 pin  </t>
  </si>
  <si>
    <t>https://www.ram-e-shop.com/ar/shop/uc3843-uc3843-5682</t>
  </si>
  <si>
    <t>https://www.ram-e-shop.com/ar/shop/lt1117-3-3v-ams1117-3-3v-6628</t>
  </si>
  <si>
    <t>https://www.ram-e-shop.com/ar/shop/lt1117-5v-ams1117-5v-6629</t>
  </si>
  <si>
    <t>https://www.ram-e-shop.com/ar/shop/kit-driver-dc-bts7960-dc-motor-driver-bts7960-single-channel-43a-7289?srsltid=AfmBOoqYIXVaVlAehYd7ceoS5K8z-AjKXQ1GFRCDYUlLQ0_CBKhG1NTd</t>
  </si>
  <si>
    <t xml:space="preserve">https://www.ram-e-shop.com/ar/shop/db6-pcb-db9-male-d-sub-db9-male-right-angle-pcb-mount-sku-db6-swkyt-db9-lhm-l-bwrd-dhkr-5657        </t>
  </si>
  <si>
    <t>https://makerselectronics.com/product/xt60-battery-connector-male-2-pin?srsltid=AfmBOop7ReOlT41HoTEmoBHpI_L3PErdiCDO5yw03Zfkm2fZSucJWMB9</t>
  </si>
  <si>
    <t>https://www.ram-e-shop.com/ar/shop/r-5-roseta-2pin-2-pin-pcb-screw-terminal-block-pitch-5mm-14-1mm-long-r-5-6323?srsltid=AfmBOoqEj4GkcLwY-_p-KNyL-ORBMf88FCsOgp-yPJREuyTamtJI0vPe</t>
  </si>
  <si>
    <t>https://microohm-eg.com/product/pluggable-terminal-block-6-pin/?srsltid=AfmBOoozFydUsLHgoxz8FE64NgbewiLO9E2TbxG2BtImbht7hHQKWDrO</t>
  </si>
  <si>
    <t>https://www.ram-e-shop.com/ar/shop/ph1-1x40-male-ph1-pin-header-male-1x40-straight-2-54mm-5808?srsltid=AfmBOorF7oC_1NOuUXPoWAtmxSusi32FebBkDavIxSMB6N7WwYttIomW</t>
  </si>
  <si>
    <t>https://ampere-electronics.com/product/2-2uf-smd-ceramic-capacitor-25vdc-0805-2012m/?srsltid=AfmBOoqFRSOLWJlFvo-IaL_yJZn7n660aPd4-YpL3fxdo7MOnUOqBm36&amp;doing_wp_cron=1749933851.8391780853271484375000</t>
  </si>
  <si>
    <t>https://ampere-electronics.com/product/100nf-smd-ceramic-capacitor-50vdc-0805-2012m-104k/?srsltid=AfmBOoorib6n8hVgLjVFEtEzI-6hVv9GY16H69A-BelAdppTuB2Cn4m8</t>
  </si>
  <si>
    <t>https://makerselectronics.com/product/cesd5v0d3-za-tvs-diode-sod-323?srsltid=AfmBOoq81A7YkFilgG2hor6nyKFo4OyK5uaiBcxvuBkMt8Rk1MgNas8B</t>
  </si>
  <si>
    <t>https://www.ram-e-shop.com/ar/shop/lm358-original-lm358p-original-5922?srsltid=AfmBOoocnhBkiir3UcRkwiEiWA-8RRAJLFMCjhZc_nRoPETfZkSq2ZC7</t>
  </si>
  <si>
    <t>https://ampere-electronics.com/product/10kohm-smd-resistor-0-25w-1206-3216m/?srsltid=AfmBOorabZqmao4mJ4LxMewobH8NRxUYdF_pUKtxe3CwVALLeaYuIkr2</t>
  </si>
  <si>
    <t>https://lampatronics.com/product/smd-resistor-56k-563-ohm-0805-10pcs/</t>
  </si>
  <si>
    <t>https://ampere-electronics.com/product/5-1kohm-smd-resistor-0-125w-0805-2012m/</t>
  </si>
  <si>
    <t>https://ampere-electronics.com/product/100kohm-smd-resistor-0-125w-0805-2012m/</t>
  </si>
  <si>
    <t>https://ampere-electronics.com/product/2-2kohm-smd-resistor-0-125w-0805-2012m/</t>
  </si>
  <si>
    <t>https://ampere-electronics.com/product/1kohm-smd-resistor-0-125w-0805-2012m/</t>
  </si>
  <si>
    <t>https://ampere-electronics.com/product/47ohm-smd-resistor-0-125w-0805-2012m/</t>
  </si>
  <si>
    <t>https://ampere-electronics.com/product/100ohm-smd-resistor-0-125w-0805-2012m/</t>
  </si>
  <si>
    <t>https://ampere-electronics.com/product/47kohm-smd-resistor-0-125w-0805-2012m/</t>
  </si>
  <si>
    <t>https://lampatronics.com/product/resistor-120-ohm-3w-1pcs/</t>
  </si>
  <si>
    <t>https://www.ram-e-shop.com/ar/shop/smd-2n5551-smd-2n5551-general-purpose-npn-transistor-6829?category=130</t>
  </si>
  <si>
    <t>https://ampere-electronics.com/product/1nf-smd-ceramic-capacitor-50vdc-0603-1608m-102k/?srsltid=AfmBOorHIytHtGt0-iu0QlfJaAOrlyHjpY0NaAaaqys2UXve2MoBajFy</t>
  </si>
  <si>
    <t>https://ampere-electronics.com/product/1n4007-smd-diode-a7/</t>
  </si>
  <si>
    <t>https://www.ram-e-shop.com/ar/shop/c-100u100v-capacitor-mkthf-kymyyy-100uf-mykrw-frd-100v-fwlt-6147</t>
  </si>
  <si>
    <t>https://www.ram-e-shop.com/ar/shop/c-470u50v-capacitor-mkthf-kymyyy-470uf-mykrw-frd-50v-fwlt-6096</t>
  </si>
  <si>
    <t>https://www.ram-e-shop.com/ar/shop/c-1000u50v-capacitor-mkthf-kymyyy-1000uf-mykrw-frd-50v-fwlt-6104</t>
  </si>
  <si>
    <t>https://www.ram-e-shop.com/ar/shop/c-10u50v-capacitor-mkthf-kymyyy-10uf-mykrw-frd-50v-fwlt-6106</t>
  </si>
  <si>
    <t>https://www.ram-e-shop.com/ar/shop/kit-imu-gy87-10dof-imu-10-dof-gy87-3-axis-gyro-3-axis-acceleration-3-axis-magnetic-field-air-pressure-sensor-module-7684?srsltid=AfmBOopufSnybYaitIZjdOM0Q97Ri4VE4RCXDQ_zxqBKksZB6rM1g3ke</t>
  </si>
  <si>
    <t>https://www.ram-e-shop.com/ar/shop/ph2-1x40-female-ph2-pin-header-female-1x40-straight-2-54mm-5833?srsltid=AfmBOordPl6Yo31CteXr9xFKvtw3j5JY3xN89yUbFCDbXlV6Z94YHrM3</t>
  </si>
  <si>
    <t>https://www.ram-e-shop.com/ar/shop/buzzer12v-big-black-buzzer-big-size-3-24v-piezo-electronic-alarm-bzr-sfr-ndhr-hjm-kbyr-swd-6122</t>
  </si>
  <si>
    <t>https://makerselectronics.com/product/zener-diode-3-6v-0-5w?srsltid=AfmBOopPZiOtA0FObb20LVQaMNHjDqx4uKJzD6H4BZJNqqS4pixWQXJ8</t>
  </si>
  <si>
    <t>https://makerselectronics.com/product/zener-diode-1n4734a-5-6v-1w?srsltid=AfmBOorwGcOmQJVsbU0yCD0v2ftC2rifQjYsKkU_Fa9rwI5ijKj0GzEw</t>
  </si>
  <si>
    <t>https://makerselectronics.com/product/smd-led-red-1206</t>
  </si>
  <si>
    <t>https://makerselectronics.com/product/smd-fuse-fast-blow-12a-2410-50a-6-1x2-69x2-69mm</t>
  </si>
  <si>
    <t>https://makerselectronics.com/product/serial-port-cable-female-female-9-pin?srsltid=AfmBOopc8btYJfXb3DJhBCQQdDuxN4Sp1_ErSx0GLz_CUamtKF--3wzO</t>
  </si>
  <si>
    <t>https://makerselectronics.com/product/data-cable-jst-4-pin-2-54mm-30cm?srsltid=AfmBOoq424wwdHU5arxy78aO3aiWTkP-oxrfrnqpXSROmZFMk_V9GRR2</t>
  </si>
  <si>
    <t>https://makerselectronics.com/product/jst-2-pin-power-cable-15cm-2-54mm?srsltid=AfmBOoo5BUhd_u1LlmTwouXUJbQkL0JwqX3dKjkwq4GkAH7wSkuGWMyg</t>
  </si>
  <si>
    <t>https://www.ram-e-shop.com/ar/shop/kit-esp32-esp32s-30pin-esp-32s-30pin-development-board-wifi-bluetooth-with-new-cp2102-chip-7433?srsltid=AfmBOop78gwP85T7FZKdWy9HU9E7AClYQMgEGMDd-MfT4dnxaa0jP7hr</t>
  </si>
  <si>
    <t>solder Wire 50gm</t>
  </si>
  <si>
    <t xml:space="preserve">pcb printing 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</si>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</sst>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m-e-shop.com/ar/shop/lt1117-3-3v-ams1117-3-3v-6628" TargetMode="External"/><Relationship Id="rId2" Type="http://schemas.openxmlformats.org/officeDocument/2006/relationships/hyperlink" Target="https://www.ram-e-shop.com/ar/shop/kit-driver-dc-bts7960-dc-motor-driver-bts7960-single-channel-43a-7289?srsltid=AfmBOoqYIXVaVlAehYd7ceoS5K8z-AjKXQ1GFRCDYUlLQ0_CBKhG1NTd" TargetMode="External"/><Relationship Id="rId1" Type="http://schemas.openxmlformats.org/officeDocument/2006/relationships/hyperlink" Target="https://www.ram-e-shop.com/ar/shop/uc3843-uc3843-5682" TargetMode="External"/><Relationship Id="rId6" Type="http://schemas.openxmlformats.org/officeDocument/2006/relationships/hyperlink" Target="https://ampere-electronics.com/product/2-2kohm-smd-resistor-0-125w-0805-2012m/" TargetMode="External"/><Relationship Id="rId5" Type="http://schemas.openxmlformats.org/officeDocument/2006/relationships/hyperlink" Target="https://www.ram-e-shop.com/ar/shop/db6-pcb-db9-male-d-sub-db9-male-right-angle-pcb-mount-sku-db6-swkyt-db9-lhm-l-bwrd-dhkr-5657" TargetMode="External"/><Relationship Id="rId4" Type="http://schemas.openxmlformats.org/officeDocument/2006/relationships/hyperlink" Target="https://www.ram-e-shop.com/ar/shop/lt1117-5v-ams1117-5v-66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4299-62B9-4A3F-BF02-744309EC2A9B}">
  <dimension ref="A1:F49"/>
  <sheetViews>
    <sheetView tabSelected="1" workbookViewId="0">
      <selection activeCell="F2" sqref="F2"/>
    </sheetView>
  </sheetViews>
  <sheetFormatPr defaultRowHeight="14.5" x14ac:dyDescent="0.35"/>
  <cols>
    <col min="1" max="1" width="32.1796875" customWidth="1"/>
    <col min="3" max="3" width="58.81640625" customWidth="1"/>
    <col min="4" max="4" width="15.1796875" customWidth="1"/>
  </cols>
  <sheetData>
    <row r="1" spans="1:6" x14ac:dyDescent="0.35">
      <c r="A1" t="s">
        <v>0</v>
      </c>
      <c r="B1">
        <v>2</v>
      </c>
      <c r="C1" t="s">
        <v>83</v>
      </c>
      <c r="D1">
        <v>300</v>
      </c>
      <c r="E1">
        <f>D1*B1</f>
        <v>600</v>
      </c>
      <c r="F1" t="s">
        <v>87</v>
      </c>
    </row>
    <row r="2" spans="1:6" x14ac:dyDescent="0.35">
      <c r="A2" t="s">
        <v>1</v>
      </c>
      <c r="B2">
        <v>2</v>
      </c>
      <c r="C2" s="1" t="s">
        <v>43</v>
      </c>
      <c r="D2">
        <v>15</v>
      </c>
      <c r="E2">
        <f t="shared" ref="E2:E45" si="0">D2*B2</f>
        <v>30</v>
      </c>
    </row>
    <row r="3" spans="1:6" x14ac:dyDescent="0.35">
      <c r="A3" t="s">
        <v>2</v>
      </c>
      <c r="B3">
        <v>3</v>
      </c>
      <c r="C3" s="1" t="s">
        <v>46</v>
      </c>
      <c r="D3">
        <v>500</v>
      </c>
      <c r="E3">
        <f t="shared" si="0"/>
        <v>1500</v>
      </c>
    </row>
    <row r="4" spans="1:6" x14ac:dyDescent="0.35">
      <c r="A4" t="s">
        <v>3</v>
      </c>
      <c r="B4">
        <v>3</v>
      </c>
      <c r="C4" s="1" t="s">
        <v>44</v>
      </c>
      <c r="D4">
        <v>3</v>
      </c>
      <c r="E4">
        <f t="shared" si="0"/>
        <v>9</v>
      </c>
    </row>
    <row r="5" spans="1:6" x14ac:dyDescent="0.35">
      <c r="A5" t="s">
        <v>4</v>
      </c>
      <c r="B5">
        <v>2</v>
      </c>
      <c r="C5" s="1" t="s">
        <v>45</v>
      </c>
      <c r="D5">
        <v>5</v>
      </c>
      <c r="E5">
        <f t="shared" si="0"/>
        <v>10</v>
      </c>
    </row>
    <row r="6" spans="1:6" x14ac:dyDescent="0.35">
      <c r="A6" t="s">
        <v>5</v>
      </c>
      <c r="B6">
        <v>6</v>
      </c>
      <c r="C6" s="1" t="s">
        <v>47</v>
      </c>
      <c r="D6">
        <v>8.5</v>
      </c>
      <c r="E6">
        <f t="shared" si="0"/>
        <v>51</v>
      </c>
    </row>
    <row r="7" spans="1:6" x14ac:dyDescent="0.35">
      <c r="A7" t="s">
        <v>7</v>
      </c>
      <c r="B7">
        <v>2</v>
      </c>
      <c r="C7" t="s">
        <v>48</v>
      </c>
      <c r="D7">
        <v>25</v>
      </c>
      <c r="E7">
        <f t="shared" si="0"/>
        <v>50</v>
      </c>
    </row>
    <row r="8" spans="1:6" x14ac:dyDescent="0.35">
      <c r="A8" t="s">
        <v>6</v>
      </c>
      <c r="B8">
        <v>8</v>
      </c>
      <c r="C8" t="s">
        <v>49</v>
      </c>
      <c r="D8">
        <v>5</v>
      </c>
      <c r="E8">
        <f t="shared" si="0"/>
        <v>40</v>
      </c>
    </row>
    <row r="9" spans="1:6" x14ac:dyDescent="0.35">
      <c r="A9" t="s">
        <v>8</v>
      </c>
      <c r="B9">
        <v>4</v>
      </c>
      <c r="C9" t="s">
        <v>50</v>
      </c>
      <c r="D9">
        <v>14.5</v>
      </c>
      <c r="E9">
        <f t="shared" si="0"/>
        <v>58</v>
      </c>
    </row>
    <row r="10" spans="1:6" x14ac:dyDescent="0.35">
      <c r="A10" t="s">
        <v>9</v>
      </c>
      <c r="B10">
        <v>2</v>
      </c>
      <c r="C10" t="s">
        <v>51</v>
      </c>
      <c r="D10">
        <v>2</v>
      </c>
      <c r="E10">
        <f t="shared" si="0"/>
        <v>4</v>
      </c>
    </row>
    <row r="11" spans="1:6" x14ac:dyDescent="0.35">
      <c r="A11" t="s">
        <v>10</v>
      </c>
      <c r="B11">
        <v>50</v>
      </c>
      <c r="C11" t="s">
        <v>52</v>
      </c>
      <c r="D11">
        <v>1.25</v>
      </c>
      <c r="E11">
        <f t="shared" si="0"/>
        <v>62.5</v>
      </c>
    </row>
    <row r="12" spans="1:6" x14ac:dyDescent="0.35">
      <c r="A12" t="s">
        <v>11</v>
      </c>
      <c r="B12">
        <v>50</v>
      </c>
      <c r="C12" t="s">
        <v>53</v>
      </c>
      <c r="D12">
        <v>1.25</v>
      </c>
      <c r="E12">
        <f t="shared" si="0"/>
        <v>62.5</v>
      </c>
    </row>
    <row r="13" spans="1:6" x14ac:dyDescent="0.35">
      <c r="A13" t="s">
        <v>12</v>
      </c>
      <c r="B13">
        <v>10</v>
      </c>
      <c r="C13" t="s">
        <v>54</v>
      </c>
      <c r="D13">
        <v>2.5</v>
      </c>
      <c r="E13">
        <f t="shared" si="0"/>
        <v>25</v>
      </c>
    </row>
    <row r="14" spans="1:6" x14ac:dyDescent="0.35">
      <c r="A14" t="s">
        <v>13</v>
      </c>
      <c r="B14">
        <v>4</v>
      </c>
      <c r="C14" t="s">
        <v>55</v>
      </c>
      <c r="D14">
        <v>10</v>
      </c>
      <c r="E14">
        <f t="shared" si="0"/>
        <v>40</v>
      </c>
    </row>
    <row r="15" spans="1:6" x14ac:dyDescent="0.35">
      <c r="A15" t="s">
        <v>14</v>
      </c>
      <c r="B15">
        <v>50</v>
      </c>
      <c r="C15" t="s">
        <v>56</v>
      </c>
      <c r="D15">
        <v>0.15</v>
      </c>
      <c r="E15">
        <f t="shared" si="0"/>
        <v>7.5</v>
      </c>
    </row>
    <row r="16" spans="1:6" x14ac:dyDescent="0.35">
      <c r="A16" t="s">
        <v>15</v>
      </c>
      <c r="B16">
        <v>25</v>
      </c>
      <c r="C16" t="s">
        <v>57</v>
      </c>
      <c r="D16">
        <v>0.2</v>
      </c>
      <c r="E16">
        <f t="shared" si="0"/>
        <v>5</v>
      </c>
    </row>
    <row r="17" spans="1:5" x14ac:dyDescent="0.35">
      <c r="A17" t="s">
        <v>16</v>
      </c>
      <c r="B17">
        <v>15</v>
      </c>
      <c r="C17" t="s">
        <v>58</v>
      </c>
      <c r="D17">
        <v>0.15</v>
      </c>
      <c r="E17">
        <f t="shared" si="0"/>
        <v>2.25</v>
      </c>
    </row>
    <row r="18" spans="1:5" x14ac:dyDescent="0.35">
      <c r="A18" t="s">
        <v>17</v>
      </c>
      <c r="B18">
        <v>25</v>
      </c>
      <c r="C18" t="s">
        <v>59</v>
      </c>
      <c r="D18">
        <v>0.15</v>
      </c>
      <c r="E18">
        <f t="shared" si="0"/>
        <v>3.75</v>
      </c>
    </row>
    <row r="19" spans="1:5" x14ac:dyDescent="0.35">
      <c r="A19" t="s">
        <v>18</v>
      </c>
      <c r="B19">
        <v>10</v>
      </c>
      <c r="C19" s="1" t="s">
        <v>60</v>
      </c>
      <c r="D19">
        <v>0.15</v>
      </c>
      <c r="E19">
        <f t="shared" si="0"/>
        <v>1.5</v>
      </c>
    </row>
    <row r="20" spans="1:5" x14ac:dyDescent="0.35">
      <c r="A20" t="s">
        <v>19</v>
      </c>
      <c r="B20">
        <v>20</v>
      </c>
      <c r="C20" t="s">
        <v>61</v>
      </c>
      <c r="D20">
        <v>0.15</v>
      </c>
      <c r="E20">
        <f t="shared" si="0"/>
        <v>3</v>
      </c>
    </row>
    <row r="21" spans="1:5" x14ac:dyDescent="0.35">
      <c r="A21" t="s">
        <v>20</v>
      </c>
      <c r="B21">
        <v>25</v>
      </c>
      <c r="C21" t="s">
        <v>62</v>
      </c>
      <c r="D21">
        <v>0.15</v>
      </c>
      <c r="E21">
        <f t="shared" si="0"/>
        <v>3.75</v>
      </c>
    </row>
    <row r="22" spans="1:5" x14ac:dyDescent="0.35">
      <c r="A22" t="s">
        <v>21</v>
      </c>
      <c r="B22">
        <v>10</v>
      </c>
      <c r="C22" t="s">
        <v>63</v>
      </c>
      <c r="D22">
        <v>0.15</v>
      </c>
      <c r="E22">
        <f t="shared" si="0"/>
        <v>1.5</v>
      </c>
    </row>
    <row r="23" spans="1:5" x14ac:dyDescent="0.35">
      <c r="A23" t="s">
        <v>22</v>
      </c>
      <c r="B23">
        <v>10</v>
      </c>
      <c r="C23" t="s">
        <v>64</v>
      </c>
      <c r="D23">
        <v>0.15</v>
      </c>
      <c r="E23">
        <f t="shared" si="0"/>
        <v>1.5</v>
      </c>
    </row>
    <row r="24" spans="1:5" x14ac:dyDescent="0.35">
      <c r="A24" t="s">
        <v>23</v>
      </c>
      <c r="B24">
        <v>10</v>
      </c>
      <c r="C24" t="s">
        <v>64</v>
      </c>
      <c r="D24">
        <v>0.15</v>
      </c>
      <c r="E24">
        <f t="shared" si="0"/>
        <v>1.5</v>
      </c>
    </row>
    <row r="25" spans="1:5" x14ac:dyDescent="0.35">
      <c r="A25" t="s">
        <v>24</v>
      </c>
      <c r="B25">
        <v>5</v>
      </c>
      <c r="C25" t="s">
        <v>65</v>
      </c>
      <c r="D25">
        <v>1.5</v>
      </c>
      <c r="E25">
        <f t="shared" si="0"/>
        <v>7.5</v>
      </c>
    </row>
    <row r="26" spans="1:5" x14ac:dyDescent="0.35">
      <c r="A26" t="s">
        <v>26</v>
      </c>
      <c r="B26">
        <v>15</v>
      </c>
      <c r="C26" t="s">
        <v>66</v>
      </c>
      <c r="D26">
        <v>1.5</v>
      </c>
      <c r="E26">
        <f t="shared" si="0"/>
        <v>22.5</v>
      </c>
    </row>
    <row r="27" spans="1:5" x14ac:dyDescent="0.35">
      <c r="A27" t="s">
        <v>25</v>
      </c>
      <c r="B27">
        <v>10</v>
      </c>
      <c r="C27" t="s">
        <v>67</v>
      </c>
      <c r="D27">
        <v>1</v>
      </c>
      <c r="E27">
        <f t="shared" si="0"/>
        <v>10</v>
      </c>
    </row>
    <row r="28" spans="1:5" x14ac:dyDescent="0.35">
      <c r="A28" t="s">
        <v>27</v>
      </c>
      <c r="B28">
        <v>20</v>
      </c>
      <c r="C28" t="s">
        <v>68</v>
      </c>
      <c r="D28">
        <v>1</v>
      </c>
      <c r="E28">
        <f t="shared" si="0"/>
        <v>20</v>
      </c>
    </row>
    <row r="29" spans="1:5" x14ac:dyDescent="0.35">
      <c r="A29" t="s">
        <v>28</v>
      </c>
      <c r="B29">
        <v>10</v>
      </c>
      <c r="C29" t="s">
        <v>69</v>
      </c>
      <c r="D29">
        <v>2.5</v>
      </c>
      <c r="E29">
        <f t="shared" si="0"/>
        <v>25</v>
      </c>
    </row>
    <row r="30" spans="1:5" x14ac:dyDescent="0.35">
      <c r="A30" t="s">
        <v>29</v>
      </c>
      <c r="B30">
        <v>15</v>
      </c>
      <c r="C30" t="s">
        <v>70</v>
      </c>
      <c r="D30">
        <v>2.25</v>
      </c>
      <c r="E30">
        <f t="shared" si="0"/>
        <v>33.75</v>
      </c>
    </row>
    <row r="31" spans="1:5" x14ac:dyDescent="0.35">
      <c r="A31" t="s">
        <v>30</v>
      </c>
      <c r="B31">
        <v>10</v>
      </c>
      <c r="C31" t="s">
        <v>71</v>
      </c>
      <c r="D31">
        <v>4</v>
      </c>
      <c r="E31">
        <f t="shared" si="0"/>
        <v>40</v>
      </c>
    </row>
    <row r="32" spans="1:5" x14ac:dyDescent="0.35">
      <c r="A32" t="s">
        <v>31</v>
      </c>
      <c r="B32">
        <v>5</v>
      </c>
      <c r="C32" t="s">
        <v>72</v>
      </c>
      <c r="D32">
        <v>1</v>
      </c>
      <c r="E32">
        <f t="shared" si="0"/>
        <v>5</v>
      </c>
    </row>
    <row r="33" spans="1:5" x14ac:dyDescent="0.35">
      <c r="A33" t="s">
        <v>32</v>
      </c>
      <c r="B33">
        <v>1</v>
      </c>
      <c r="C33" t="s">
        <v>73</v>
      </c>
      <c r="D33">
        <v>475</v>
      </c>
      <c r="E33">
        <f t="shared" si="0"/>
        <v>475</v>
      </c>
    </row>
    <row r="34" spans="1:5" x14ac:dyDescent="0.35">
      <c r="A34" t="s">
        <v>33</v>
      </c>
      <c r="B34">
        <v>2</v>
      </c>
      <c r="C34" t="s">
        <v>74</v>
      </c>
      <c r="D34">
        <v>5</v>
      </c>
      <c r="E34">
        <f t="shared" si="0"/>
        <v>10</v>
      </c>
    </row>
    <row r="35" spans="1:5" x14ac:dyDescent="0.35">
      <c r="A35" t="s">
        <v>34</v>
      </c>
      <c r="B35">
        <v>1</v>
      </c>
      <c r="C35" t="s">
        <v>75</v>
      </c>
      <c r="D35">
        <v>25</v>
      </c>
      <c r="E35">
        <f t="shared" si="0"/>
        <v>25</v>
      </c>
    </row>
    <row r="36" spans="1:5" x14ac:dyDescent="0.35">
      <c r="A36" t="s">
        <v>35</v>
      </c>
      <c r="B36">
        <v>6</v>
      </c>
      <c r="C36" t="s">
        <v>76</v>
      </c>
      <c r="D36">
        <v>0.75</v>
      </c>
      <c r="E36">
        <f t="shared" si="0"/>
        <v>4.5</v>
      </c>
    </row>
    <row r="37" spans="1:5" x14ac:dyDescent="0.35">
      <c r="A37" t="s">
        <v>36</v>
      </c>
      <c r="B37">
        <v>5</v>
      </c>
      <c r="C37" t="s">
        <v>77</v>
      </c>
      <c r="D37">
        <v>1</v>
      </c>
      <c r="E37">
        <f t="shared" si="0"/>
        <v>5</v>
      </c>
    </row>
    <row r="38" spans="1:5" x14ac:dyDescent="0.35">
      <c r="A38" t="s">
        <v>37</v>
      </c>
      <c r="B38">
        <v>10</v>
      </c>
      <c r="C38" t="s">
        <v>78</v>
      </c>
      <c r="D38">
        <v>0.8</v>
      </c>
      <c r="E38">
        <f t="shared" si="0"/>
        <v>8</v>
      </c>
    </row>
    <row r="39" spans="1:5" x14ac:dyDescent="0.35">
      <c r="A39" t="s">
        <v>38</v>
      </c>
      <c r="B39">
        <v>5</v>
      </c>
      <c r="C39" t="s">
        <v>79</v>
      </c>
      <c r="D39">
        <v>4.5</v>
      </c>
      <c r="E39">
        <f t="shared" si="0"/>
        <v>22.5</v>
      </c>
    </row>
    <row r="40" spans="1:5" x14ac:dyDescent="0.35">
      <c r="A40" t="s">
        <v>39</v>
      </c>
      <c r="B40">
        <v>3</v>
      </c>
      <c r="D40">
        <v>5</v>
      </c>
      <c r="E40">
        <f t="shared" si="0"/>
        <v>15</v>
      </c>
    </row>
    <row r="41" spans="1:5" x14ac:dyDescent="0.35">
      <c r="A41" t="s">
        <v>42</v>
      </c>
      <c r="B41">
        <v>4</v>
      </c>
      <c r="C41" t="s">
        <v>80</v>
      </c>
      <c r="D41">
        <v>15</v>
      </c>
      <c r="E41">
        <f t="shared" si="0"/>
        <v>60</v>
      </c>
    </row>
    <row r="42" spans="1:5" x14ac:dyDescent="0.35">
      <c r="A42" t="s">
        <v>41</v>
      </c>
      <c r="B42">
        <v>3</v>
      </c>
      <c r="C42" t="s">
        <v>81</v>
      </c>
      <c r="D42">
        <v>8</v>
      </c>
      <c r="E42">
        <f t="shared" si="0"/>
        <v>24</v>
      </c>
    </row>
    <row r="43" spans="1:5" x14ac:dyDescent="0.35">
      <c r="A43" t="s">
        <v>40</v>
      </c>
      <c r="B43">
        <v>3</v>
      </c>
      <c r="C43" t="s">
        <v>82</v>
      </c>
      <c r="D43">
        <v>4</v>
      </c>
      <c r="E43">
        <f t="shared" si="0"/>
        <v>12</v>
      </c>
    </row>
    <row r="44" spans="1:5" x14ac:dyDescent="0.35">
      <c r="A44" t="s">
        <v>84</v>
      </c>
      <c r="B44">
        <v>1</v>
      </c>
      <c r="D44">
        <v>160</v>
      </c>
      <c r="E44">
        <f t="shared" si="0"/>
        <v>160</v>
      </c>
    </row>
    <row r="45" spans="1:5" x14ac:dyDescent="0.35">
      <c r="A45" t="s">
        <v>85</v>
      </c>
      <c r="B45">
        <v>2</v>
      </c>
      <c r="D45">
        <v>600</v>
      </c>
      <c r="E45">
        <f t="shared" si="0"/>
        <v>1200</v>
      </c>
    </row>
    <row r="49" spans="1:5" x14ac:dyDescent="0.35">
      <c r="A49" t="s">
        <v>86</v>
      </c>
      <c r="E49">
        <f>SUM(E1:E48)</f>
        <v>4758</v>
      </c>
    </row>
  </sheetData>
  <phoneticPr fontId="2" type="noConversion"/>
  <hyperlinks>
    <hyperlink ref="C2" r:id="rId1" xr:uid="{52DEAC71-695B-4F30-A28C-9A71C88ACB38}"/>
    <hyperlink ref="C3" r:id="rId2" xr:uid="{28BCDC39-0313-4252-B6DA-AC6B552FCCAB}"/>
    <hyperlink ref="C4" r:id="rId3" xr:uid="{2B51A275-C51D-4DC7-B903-1B5D04421A75}"/>
    <hyperlink ref="C5" r:id="rId4" xr:uid="{4266F5C9-D338-45AC-8455-AB85E4523108}"/>
    <hyperlink ref="C6" r:id="rId5" xr:uid="{EE082336-8092-4568-AE42-27E8C21F443C}"/>
    <hyperlink ref="C19" r:id="rId6" xr:uid="{5F0FA7E0-888C-4E1F-A20D-45CD5AAE64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20230642</dc:creator>
  <cp:lastModifiedBy>20230642</cp:lastModifiedBy>
  <dcterms:created xsi:type="dcterms:W3CDTF">2025-06-13T18:14:18Z</dcterms:created>
  <dcterms:modified xsi:type="dcterms:W3CDTF">2025-07-02T21:12:05Z</dcterms:modified>
</cp:coreProperties>
</file>